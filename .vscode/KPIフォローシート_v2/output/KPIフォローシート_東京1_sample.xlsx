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東京1" sheetId="1" state="visible" r:id="rId1"/>
    <sheet name="営業推進部_一覧" sheetId="2" state="visible" r:id="rId2"/>
    <sheet name="マスタ" sheetId="3" state="hidden" r:id="rId3"/>
  </sheets>
  <definedNames>
    <definedName name="_xlnm._FilterDatabase" localSheetId="0" hidden="1">'東京1'!$A$1:$S$9</definedName>
    <definedName name="_xlnm._FilterDatabase" localSheetId="1" hidden="1">'営業推進部_一覧'!$A$1:$U$9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color rgb="00000000"/>
      <sz val="10"/>
    </font>
    <font>
      <name val="メイリオ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3F3"/>
      </patternFill>
    </fill>
    <fill>
      <patternFill patternType="solid">
        <fgColor rgb="00FFFACD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/>
    </xf>
    <xf numFmtId="9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2" fillId="6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 wrapText="1"/>
    </xf>
    <xf numFmtId="0" fontId="3" fillId="0" borderId="0" pivotButton="0" quotePrefix="0" xfId="0"/>
  </cellXfs>
  <cellStyles count="1">
    <cellStyle name="Normal" xfId="0" builtinId="0" hidden="0"/>
  </cellStyles>
  <dxfs count="3">
    <dxf>
      <font>
        <name val="メイリオ"/>
        <color rgb="00276221"/>
        <sz val="10"/>
      </font>
      <fill>
        <patternFill patternType="solid">
          <fgColor rgb="00C6EFCE"/>
        </patternFill>
      </fill>
    </dxf>
    <dxf>
      <font>
        <name val="メイリオ"/>
        <color rgb="009C5700"/>
        <sz val="10"/>
      </font>
      <fill>
        <patternFill patternType="solid">
          <fgColor rgb="00FFEB9C"/>
        </patternFill>
      </fill>
    </dxf>
    <dxf>
      <font>
        <name val="メイリオ"/>
        <color rgb="009C0006"/>
        <sz val="10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</row>
    <row r="2" ht="42" customHeight="1">
      <c r="A2" s="2" t="inlineStr">
        <is>
          <t>東京1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</row>
    <row r="3" ht="42" customHeight="1">
      <c r="A3" s="7" t="n"/>
      <c r="B3" s="7" t="n"/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</row>
    <row r="4" ht="42" customHeight="1">
      <c r="A4" s="7" t="n"/>
      <c r="B4" s="8" t="n"/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</row>
    <row r="5" ht="42" customHeight="1">
      <c r="A5" s="7" t="n"/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</row>
    <row r="6" ht="42" customHeight="1">
      <c r="A6" s="8" t="n"/>
      <c r="B6" s="8" t="n"/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</row>
  </sheetData>
  <autoFilter ref="A1:S9"/>
  <mergeCells count="3">
    <mergeCell ref="B5:B6"/>
    <mergeCell ref="A2:A6"/>
    <mergeCell ref="B2:B4"/>
  </mergeCells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36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30" customWidth="1" min="13" max="13"/>
    <col width="30" customWidth="1" min="14" max="14"/>
    <col width="30" customWidth="1" min="15" max="15"/>
    <col width="18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</cols>
  <sheetData>
    <row r="1" ht="22" customHeight="1">
      <c r="A1" s="1" t="inlineStr">
        <is>
          <t>課</t>
        </is>
      </c>
      <c r="B1" s="1" t="inlineStr">
        <is>
          <t>戦略レバー</t>
        </is>
      </c>
      <c r="C1" s="1" t="inlineStr">
        <is>
          <t>KPI</t>
        </is>
      </c>
      <c r="D1" s="1" t="inlineStr">
        <is>
          <t>４月目標</t>
        </is>
      </c>
      <c r="E1" s="1" t="inlineStr">
        <is>
          <t>４月実績</t>
        </is>
      </c>
      <c r="F1" s="1" t="inlineStr">
        <is>
          <t>４月達成率</t>
        </is>
      </c>
      <c r="G1" s="1" t="inlineStr">
        <is>
          <t>５月目標</t>
        </is>
      </c>
      <c r="H1" s="1" t="inlineStr">
        <is>
          <t>５月実績</t>
        </is>
      </c>
      <c r="I1" s="1" t="inlineStr">
        <is>
          <t>５月達成率</t>
        </is>
      </c>
      <c r="J1" s="1" t="inlineStr">
        <is>
          <t>６月目標</t>
        </is>
      </c>
      <c r="K1" s="1" t="inlineStr">
        <is>
          <t>６月実績</t>
        </is>
      </c>
      <c r="L1" s="1" t="inlineStr">
        <is>
          <t>６月達成率</t>
        </is>
      </c>
      <c r="M1" s="1" t="inlineStr">
        <is>
          <t>４月コメント</t>
        </is>
      </c>
      <c r="N1" s="1" t="inlineStr">
        <is>
          <t>５月コメント</t>
        </is>
      </c>
      <c r="O1" s="1" t="inlineStr">
        <is>
          <t>６月コメント</t>
        </is>
      </c>
      <c r="P1" s="1" t="inlineStr">
        <is>
          <t>未達要因</t>
        </is>
      </c>
      <c r="Q1" s="1" t="inlineStr">
        <is>
          <t>次期アクション</t>
        </is>
      </c>
      <c r="R1" s="1" t="inlineStr">
        <is>
          <t>課長コメント</t>
        </is>
      </c>
      <c r="S1" s="1" t="inlineStr">
        <is>
          <t>横展開事項</t>
        </is>
      </c>
      <c r="T1" s="1" t="inlineStr">
        <is>
          <t>推進コメント</t>
        </is>
      </c>
      <c r="U1" s="1" t="inlineStr">
        <is>
          <t>構造課題</t>
        </is>
      </c>
    </row>
    <row r="2" ht="42" customHeight="1">
      <c r="A2" s="2" t="inlineStr">
        <is>
          <t>東京1</t>
        </is>
      </c>
      <c r="B2" s="3" t="inlineStr">
        <is>
          <t>訪問活動強化</t>
        </is>
      </c>
      <c r="C2" s="3" t="inlineStr">
        <is>
          <t>月次訪問件数（対象医師）</t>
        </is>
      </c>
      <c r="D2" s="4" t="n">
        <v>80</v>
      </c>
      <c r="E2" s="4" t="n">
        <v>72</v>
      </c>
      <c r="F2" s="5">
        <f>IFERROR(E2/D2,"")</f>
        <v/>
      </c>
      <c r="G2" s="4" t="n">
        <v>80</v>
      </c>
      <c r="H2" s="4" t="n">
        <v>76</v>
      </c>
      <c r="I2" s="5">
        <f>IFERROR(H2/G2,"")</f>
        <v/>
      </c>
      <c r="J2" s="4" t="n">
        <v>80</v>
      </c>
      <c r="K2" s="4" t="n">
        <v>80</v>
      </c>
      <c r="L2" s="5">
        <f>IFERROR(K2/J2,"")</f>
        <v/>
      </c>
      <c r="M2" s="6" t="inlineStr">
        <is>
          <t>月初の訪問計画未達。後半で挽回を試みたが届かず。</t>
        </is>
      </c>
      <c r="N2" s="6" t="inlineStr">
        <is>
          <t>訪問計画の見直しにより改善したが、まだ目標には未達。</t>
        </is>
      </c>
      <c r="O2" s="6" t="inlineStr">
        <is>
          <t>週次レビューが機能し、月末に目標達成できた。</t>
        </is>
      </c>
      <c r="P2" s="4" t="inlineStr">
        <is>
          <t>MR活動量</t>
        </is>
      </c>
      <c r="Q2" s="6" t="inlineStr">
        <is>
          <t>週次訪問計画を細分化し、遅延を早期検知する体制を整備する。</t>
        </is>
      </c>
      <c r="R2" s="6" t="inlineStr">
        <is>
          <t>計画精度向上を優先。週次レビューを導入してほしい。</t>
        </is>
      </c>
      <c r="S2" s="6" t="inlineStr"/>
      <c r="T2" s="6" t="inlineStr"/>
      <c r="U2" s="6" t="inlineStr"/>
    </row>
    <row r="3" ht="42" customHeight="1">
      <c r="A3" s="2" t="inlineStr">
        <is>
          <t>東京1</t>
        </is>
      </c>
      <c r="B3" s="3" t="inlineStr">
        <is>
          <t>訪問活動強化</t>
        </is>
      </c>
      <c r="C3" s="3" t="inlineStr">
        <is>
          <t>新規開拓医師数</t>
        </is>
      </c>
      <c r="D3" s="4" t="n">
        <v>5</v>
      </c>
      <c r="E3" s="4" t="n">
        <v>7</v>
      </c>
      <c r="F3" s="5">
        <f>IFERROR(E3/D3,"")</f>
        <v/>
      </c>
      <c r="G3" s="4" t="n">
        <v>5</v>
      </c>
      <c r="H3" s="4" t="n">
        <v>6</v>
      </c>
      <c r="I3" s="5">
        <f>IFERROR(H3/G3,"")</f>
        <v/>
      </c>
      <c r="J3" s="4" t="n">
        <v>5</v>
      </c>
      <c r="K3" s="4" t="n">
        <v>5</v>
      </c>
      <c r="L3" s="5">
        <f>IFERROR(K3/J3,"")</f>
        <v/>
      </c>
      <c r="M3" s="6" t="inlineStr">
        <is>
          <t>新規医師へのアプローチが計画以上に進捗した。</t>
        </is>
      </c>
      <c r="N3" s="6" t="inlineStr">
        <is>
          <t>新規候補リストの見直しにより継続して好調。</t>
        </is>
      </c>
      <c r="O3" s="6" t="inlineStr">
        <is>
          <t>目標水準を維持。活動の再現性が見えてきた。</t>
        </is>
      </c>
      <c r="P3" s="4" t="inlineStr"/>
      <c r="Q3" s="6" t="inlineStr">
        <is>
          <t>引き続き新規開拓を継続。アプローチ先リストを更新する。</t>
        </is>
      </c>
      <c r="R3" s="6" t="inlineStr">
        <is>
          <t>好調。成功パターンを他課にも展開してほしい。</t>
        </is>
      </c>
      <c r="S3" s="6" t="inlineStr">
        <is>
          <t>新規開拓手法を他課へ共有</t>
        </is>
      </c>
      <c r="T3" s="6" t="inlineStr"/>
      <c r="U3" s="6" t="inlineStr"/>
    </row>
    <row r="4" ht="42" customHeight="1">
      <c r="A4" s="2" t="inlineStr">
        <is>
          <t>東京1</t>
        </is>
      </c>
      <c r="B4" s="3" t="inlineStr">
        <is>
          <t>訪問活動強化</t>
        </is>
      </c>
      <c r="C4" s="3" t="inlineStr">
        <is>
          <t>ハイポテンシャル医師への月次面談率</t>
        </is>
      </c>
      <c r="D4" s="4" t="n">
        <v>0.7</v>
      </c>
      <c r="E4" s="4" t="n">
        <v>0.65</v>
      </c>
      <c r="F4" s="5">
        <f>IFERROR(E4/D4,"")</f>
        <v/>
      </c>
      <c r="G4" s="4" t="n">
        <v>0.7</v>
      </c>
      <c r="H4" s="4" t="n">
        <v>0.68</v>
      </c>
      <c r="I4" s="5">
        <f>IFERROR(H4/G4,"")</f>
        <v/>
      </c>
      <c r="J4" s="4" t="n">
        <v>0.7</v>
      </c>
      <c r="K4" s="4" t="n">
        <v>0.7</v>
      </c>
      <c r="L4" s="5">
        <f>IFERROR(K4/J4,"")</f>
        <v/>
      </c>
      <c r="M4" s="6" t="inlineStr">
        <is>
          <t>ハイポテンシャル医師のアポイント取得に苦戦。</t>
        </is>
      </c>
      <c r="N4" s="6" t="inlineStr">
        <is>
          <t>学会前の接点強化により改善傾向が見られた。</t>
        </is>
      </c>
      <c r="O4" s="6" t="inlineStr">
        <is>
          <t>アプローチ時期の最適化により目標到達。</t>
        </is>
      </c>
      <c r="P4" s="4" t="inlineStr">
        <is>
          <t>タイミング</t>
        </is>
      </c>
      <c r="Q4" s="6" t="inlineStr">
        <is>
          <t>学会・セミナー前後のアプローチ時期を最適化する。</t>
        </is>
      </c>
      <c r="R4" s="6" t="inlineStr">
        <is>
          <t>学会カレンダーと連動した訪問計画を立てること。</t>
        </is>
      </c>
      <c r="S4" s="6" t="inlineStr"/>
      <c r="T4" s="6" t="inlineStr"/>
      <c r="U4" s="6" t="inlineStr"/>
    </row>
    <row r="5" ht="42" customHeight="1">
      <c r="A5" s="2" t="inlineStr">
        <is>
          <t>東京1</t>
        </is>
      </c>
      <c r="B5" s="3" t="inlineStr">
        <is>
          <t>製品プロモーション</t>
        </is>
      </c>
      <c r="C5" s="3" t="inlineStr">
        <is>
          <t>製品説明会実施件数</t>
        </is>
      </c>
      <c r="D5" s="4" t="n">
        <v>4</v>
      </c>
      <c r="E5" s="4" t="n">
        <v>4</v>
      </c>
      <c r="F5" s="5">
        <f>IFERROR(E5/D5,"")</f>
        <v/>
      </c>
      <c r="G5" s="4" t="n">
        <v>4</v>
      </c>
      <c r="H5" s="4" t="n">
        <v>4</v>
      </c>
      <c r="I5" s="5">
        <f>IFERROR(H5/G5,"")</f>
        <v/>
      </c>
      <c r="J5" s="4" t="n">
        <v>4</v>
      </c>
      <c r="K5" s="4" t="n">
        <v>4</v>
      </c>
      <c r="L5" s="5">
        <f>IFERROR(K5/J5,"")</f>
        <v/>
      </c>
      <c r="M5" s="6" t="inlineStr">
        <is>
          <t>予定通り4回実施。参加者平均8名。</t>
        </is>
      </c>
      <c r="N5" s="6" t="inlineStr">
        <is>
          <t>実施件数は維持。参加医師の反応も概ね良好。</t>
        </is>
      </c>
      <c r="O5" s="6" t="inlineStr">
        <is>
          <t>継続的に実施できており、運営面も安定している。</t>
        </is>
      </c>
      <c r="P5" s="4" t="inlineStr"/>
      <c r="Q5" s="6" t="inlineStr">
        <is>
          <t>次期は参加者数10名以上を目標に招待範囲を拡大する。</t>
        </is>
      </c>
      <c r="R5" s="6" t="inlineStr">
        <is>
          <t>品質向上も意識してほしい。</t>
        </is>
      </c>
      <c r="S5" s="6" t="inlineStr"/>
      <c r="T5" s="6" t="inlineStr"/>
      <c r="U5" s="6" t="inlineStr"/>
    </row>
    <row r="6" ht="42" customHeight="1">
      <c r="A6" s="2" t="inlineStr">
        <is>
          <t>東京1</t>
        </is>
      </c>
      <c r="B6" s="3" t="inlineStr">
        <is>
          <t>製品プロモーション</t>
        </is>
      </c>
      <c r="C6" s="3" t="inlineStr">
        <is>
          <t>パンフレット・資材配布数</t>
        </is>
      </c>
      <c r="D6" s="4" t="n">
        <v>200</v>
      </c>
      <c r="E6" s="4" t="n">
        <v>185</v>
      </c>
      <c r="F6" s="5">
        <f>IFERROR(E6/D6,"")</f>
        <v/>
      </c>
      <c r="G6" s="4" t="n">
        <v>200</v>
      </c>
      <c r="H6" s="4" t="n">
        <v>195</v>
      </c>
      <c r="I6" s="5">
        <f>IFERROR(H6/G6,"")</f>
        <v/>
      </c>
      <c r="J6" s="4" t="n">
        <v>200</v>
      </c>
      <c r="K6" s="4" t="n">
        <v>200</v>
      </c>
      <c r="L6" s="5">
        <f>IFERROR(K6/J6,"")</f>
        <v/>
      </c>
      <c r="M6" s="6" t="inlineStr">
        <is>
          <t>資材の在庫切れが一部で発生し配布数が減少した。</t>
        </is>
      </c>
      <c r="N6" s="6" t="inlineStr">
        <is>
          <t>発注タイミング見直しで不足は縮小したが未達。</t>
        </is>
      </c>
      <c r="O6" s="6" t="inlineStr">
        <is>
          <t>前倒し発注が機能し、安定供給により目標達成。</t>
        </is>
      </c>
      <c r="P6" s="4" t="inlineStr">
        <is>
          <t>ターゲット設計</t>
        </is>
      </c>
      <c r="Q6" s="6" t="inlineStr">
        <is>
          <t>資材の事前発注タイミングを2週間前倒しにする。</t>
        </is>
      </c>
      <c r="R6" s="6" t="inlineStr">
        <is>
          <t>在庫管理フローを見直すこと。</t>
        </is>
      </c>
      <c r="S6" s="6" t="inlineStr"/>
      <c r="T6" s="6" t="inlineStr"/>
      <c r="U6" s="6" t="inlineStr"/>
    </row>
    <row r="7" ht="42" customHeight="1">
      <c r="A7" s="9" t="n"/>
      <c r="B7" s="10" t="n"/>
      <c r="C7" s="10" t="n"/>
      <c r="D7" s="4" t="n"/>
      <c r="E7" s="4" t="n"/>
      <c r="F7" s="5">
        <f>IFERROR(E7/D7,"")</f>
        <v/>
      </c>
      <c r="G7" s="4" t="n"/>
      <c r="H7" s="4" t="n"/>
      <c r="I7" s="5">
        <f>IFERROR(H7/G7,"")</f>
        <v/>
      </c>
      <c r="J7" s="4" t="n"/>
      <c r="K7" s="4" t="n"/>
      <c r="L7" s="5">
        <f>IFERROR(K7/J7,"")</f>
        <v/>
      </c>
      <c r="M7" s="6" t="n"/>
      <c r="N7" s="6" t="n"/>
      <c r="O7" s="6" t="n"/>
      <c r="P7" s="4" t="n"/>
      <c r="Q7" s="6" t="n"/>
      <c r="R7" s="6" t="n"/>
      <c r="S7" s="6" t="n"/>
      <c r="T7" s="6" t="n"/>
      <c r="U7" s="6" t="n"/>
    </row>
    <row r="8" ht="42" customHeight="1">
      <c r="A8" s="9" t="n"/>
      <c r="B8" s="10" t="n"/>
      <c r="C8" s="10" t="n"/>
      <c r="D8" s="4" t="n"/>
      <c r="E8" s="4" t="n"/>
      <c r="F8" s="5">
        <f>IFERROR(E8/D8,"")</f>
        <v/>
      </c>
      <c r="G8" s="4" t="n"/>
      <c r="H8" s="4" t="n"/>
      <c r="I8" s="5">
        <f>IFERROR(H8/G8,"")</f>
        <v/>
      </c>
      <c r="J8" s="4" t="n"/>
      <c r="K8" s="4" t="n"/>
      <c r="L8" s="5">
        <f>IFERROR(K8/J8,"")</f>
        <v/>
      </c>
      <c r="M8" s="6" t="n"/>
      <c r="N8" s="6" t="n"/>
      <c r="O8" s="6" t="n"/>
      <c r="P8" s="4" t="n"/>
      <c r="Q8" s="6" t="n"/>
      <c r="R8" s="6" t="n"/>
      <c r="S8" s="6" t="n"/>
      <c r="T8" s="6" t="n"/>
      <c r="U8" s="6" t="n"/>
    </row>
    <row r="9" ht="42" customHeight="1">
      <c r="A9" s="9" t="n"/>
      <c r="B9" s="10" t="n"/>
      <c r="C9" s="10" t="n"/>
      <c r="D9" s="4" t="n"/>
      <c r="E9" s="4" t="n"/>
      <c r="F9" s="5">
        <f>IFERROR(E9/D9,"")</f>
        <v/>
      </c>
      <c r="G9" s="4" t="n"/>
      <c r="H9" s="4" t="n"/>
      <c r="I9" s="5">
        <f>IFERROR(H9/G9,"")</f>
        <v/>
      </c>
      <c r="J9" s="4" t="n"/>
      <c r="K9" s="4" t="n"/>
      <c r="L9" s="5">
        <f>IFERROR(K9/J9,"")</f>
        <v/>
      </c>
      <c r="M9" s="6" t="n"/>
      <c r="N9" s="6" t="n"/>
      <c r="O9" s="6" t="n"/>
      <c r="P9" s="4" t="n"/>
      <c r="Q9" s="6" t="n"/>
      <c r="R9" s="6" t="n"/>
      <c r="S9" s="6" t="n"/>
      <c r="T9" s="6" t="n"/>
      <c r="U9" s="6" t="n"/>
    </row>
  </sheetData>
  <autoFilter ref="A1:U9"/>
  <conditionalFormatting sqref="F2:F9">
    <cfRule type="expression" priority="1" dxfId="0">
      <formula>F2&gt;=1</formula>
    </cfRule>
    <cfRule type="expression" priority="2" dxfId="1">
      <formula>AND(F2&gt;=0.8,F2&lt;1)</formula>
    </cfRule>
    <cfRule type="expression" priority="3" dxfId="2">
      <formula>AND(F2&lt;&gt;"",F2&lt;0.8)</formula>
    </cfRule>
  </conditionalFormatting>
  <conditionalFormatting sqref="I2:I9">
    <cfRule type="expression" priority="4" dxfId="0">
      <formula>I2&gt;=1</formula>
    </cfRule>
    <cfRule type="expression" priority="5" dxfId="1">
      <formula>AND(I2&gt;=0.8,I2&lt;1)</formula>
    </cfRule>
    <cfRule type="expression" priority="6" dxfId="2">
      <formula>AND(I2&lt;&gt;"",I2&lt;0.8)</formula>
    </cfRule>
  </conditionalFormatting>
  <conditionalFormatting sqref="L2:L9">
    <cfRule type="expression" priority="7" dxfId="0">
      <formula>L2&gt;=1</formula>
    </cfRule>
    <cfRule type="expression" priority="8" dxfId="1">
      <formula>AND(L2&gt;=0.8,L2&lt;1)</formula>
    </cfRule>
    <cfRule type="expression" priority="9" dxfId="2">
      <formula>AND(L2&lt;&gt;"",L2&lt;0.8)</formula>
    </cfRule>
  </conditionalFormatting>
  <dataValidations count="1">
    <dataValidation sqref="P2:P9" showDropDown="0" showInputMessage="0" showErrorMessage="0" allowBlank="1" type="list">
      <formula1>マスタ!$A$2:$A$6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1" t="inlineStr">
        <is>
          <t>未達要因</t>
        </is>
      </c>
    </row>
    <row r="2">
      <c r="A2" t="inlineStr">
        <is>
          <t>ターゲット設計</t>
        </is>
      </c>
    </row>
    <row r="3">
      <c r="A3" t="inlineStr">
        <is>
          <t>医師判断軸</t>
        </is>
      </c>
    </row>
    <row r="4">
      <c r="A4" t="inlineStr">
        <is>
          <t>競合優位</t>
        </is>
      </c>
    </row>
    <row r="5">
      <c r="A5" t="inlineStr">
        <is>
          <t>MR活動量</t>
        </is>
      </c>
    </row>
    <row r="6">
      <c r="A6" t="inlineStr">
        <is>
          <t>タイミング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2026-03-08T05:40:59Z</dcterms:created>
  <dcterms:modified xsi:type="dcterms:W3CDTF">2026-03-08T05:40:59Z</dcterms:modified>
</cp:coreProperties>
</file>